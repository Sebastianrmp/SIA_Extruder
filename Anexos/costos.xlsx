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<sst xmlns="http://schemas.openxmlformats.org/spreadsheetml/2006/main" count="56" uniqueCount="55">
  <si>
    <t>Filamento</t>
  </si>
  <si>
    <t>Tubo metalico</t>
  </si>
  <si>
    <t>PCB</t>
  </si>
  <si>
    <t>Fuente 24v</t>
  </si>
  <si>
    <t>Regulador 5R</t>
  </si>
  <si>
    <t>Pantalla</t>
  </si>
  <si>
    <t>I2C</t>
  </si>
  <si>
    <t>Fuente 12v</t>
  </si>
  <si>
    <t>Placa1</t>
  </si>
  <si>
    <t>ESP32</t>
  </si>
  <si>
    <t>Encoder</t>
  </si>
  <si>
    <t>Cables motor</t>
  </si>
  <si>
    <t>Amarres</t>
  </si>
  <si>
    <t>Conectores</t>
  </si>
  <si>
    <t>Diodos y otro</t>
  </si>
  <si>
    <t>Arreglo torno</t>
  </si>
  <si>
    <t>Piñones</t>
  </si>
  <si>
    <t>LM2596</t>
  </si>
  <si>
    <t>Alcohol iso</t>
  </si>
  <si>
    <t>Abrazaderas</t>
  </si>
  <si>
    <t>Troceador y cable</t>
  </si>
  <si>
    <t>Reductor</t>
  </si>
  <si>
    <t>Tornillos</t>
  </si>
  <si>
    <t>Tornillo1</t>
  </si>
  <si>
    <t>Tornillo2</t>
  </si>
  <si>
    <t>Taladro</t>
  </si>
  <si>
    <t>Puente H</t>
  </si>
  <si>
    <t>Tapones</t>
  </si>
  <si>
    <t>IRFZ44</t>
  </si>
  <si>
    <t>Potenciometro</t>
  </si>
  <si>
    <t>Borneras</t>
  </si>
  <si>
    <t>Broca</t>
  </si>
  <si>
    <t>Colador</t>
  </si>
  <si>
    <t>Boquilla Bronce</t>
  </si>
  <si>
    <t>eje varilla</t>
  </si>
  <si>
    <t>puldo boquilla</t>
  </si>
  <si>
    <t>amperimetro</t>
  </si>
  <si>
    <t>tolva</t>
  </si>
  <si>
    <t>arreglar tolva</t>
  </si>
  <si>
    <t>overlef</t>
  </si>
  <si>
    <t>motor 12V</t>
  </si>
  <si>
    <t>pcb1</t>
  </si>
  <si>
    <t>pcb2</t>
  </si>
  <si>
    <t>pines y conector</t>
  </si>
  <si>
    <t>arduino nano</t>
  </si>
  <si>
    <t>tornilos y cables</t>
  </si>
  <si>
    <t>tabla</t>
  </si>
  <si>
    <t>filamento</t>
  </si>
  <si>
    <t>soldadura tornillo</t>
  </si>
  <si>
    <t>diodo</t>
  </si>
  <si>
    <t>soldarura seguros</t>
  </si>
  <si>
    <t>impresion etiqueta</t>
  </si>
  <si>
    <t>polea guia</t>
  </si>
  <si>
    <t>ultima PCB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</si>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</sst>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wrapText="1"/>
    </xf>
    <xf numFmtId="3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Fill="1" applyBorder="1" applyAlignment="1">
      <alignment horizontal="righ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G60"/>
  <sheetViews>
    <sheetView tabSelected="1" topLeftCell="A9" workbookViewId="0">
      <selection activeCell="J28" sqref="J28"/>
    </sheetView>
  </sheetViews>
  <sheetFormatPr defaultColWidth="11" defaultRowHeight="15" outlineLevelCol="6"/>
  <cols>
    <col min="4" max="4" width="17.4285714285714" customWidth="1"/>
  </cols>
  <sheetData>
    <row r="4" ht="24" customHeight="1" spans="4:7">
      <c r="D4" s="1" t="s">
        <v>0</v>
      </c>
      <c r="E4" s="1">
        <v>20000</v>
      </c>
      <c r="F4" s="1">
        <v>1</v>
      </c>
      <c r="G4" s="1">
        <f>E4*F4</f>
        <v>20000</v>
      </c>
    </row>
    <row r="5" spans="4:7">
      <c r="D5" s="2" t="s">
        <v>1</v>
      </c>
      <c r="E5" s="2">
        <v>10000</v>
      </c>
      <c r="F5" s="2">
        <v>1</v>
      </c>
      <c r="G5" s="1">
        <f t="shared" ref="G5:G58" si="0">E5*F5</f>
        <v>10000</v>
      </c>
    </row>
    <row r="6" spans="4:7">
      <c r="D6" s="2" t="s">
        <v>2</v>
      </c>
      <c r="E6" s="3">
        <v>35000</v>
      </c>
      <c r="F6" s="4">
        <v>1</v>
      </c>
      <c r="G6" s="1">
        <f t="shared" si="0"/>
        <v>35000</v>
      </c>
    </row>
    <row r="7" spans="4:7">
      <c r="D7" s="2" t="s">
        <v>3</v>
      </c>
      <c r="E7" s="4">
        <v>65000</v>
      </c>
      <c r="F7" s="4">
        <v>1</v>
      </c>
      <c r="G7" s="1">
        <f t="shared" si="0"/>
        <v>65000</v>
      </c>
    </row>
    <row r="8" spans="4:7">
      <c r="D8" s="2" t="s">
        <v>4</v>
      </c>
      <c r="E8" s="4">
        <v>1100</v>
      </c>
      <c r="F8" s="4">
        <v>1</v>
      </c>
      <c r="G8" s="1">
        <f t="shared" si="0"/>
        <v>1100</v>
      </c>
    </row>
    <row r="9" spans="4:7">
      <c r="D9" s="2" t="s">
        <v>5</v>
      </c>
      <c r="E9" s="4">
        <v>32000</v>
      </c>
      <c r="F9" s="4">
        <v>1</v>
      </c>
      <c r="G9" s="1">
        <f t="shared" si="0"/>
        <v>32000</v>
      </c>
    </row>
    <row r="10" spans="4:7">
      <c r="D10" s="2" t="s">
        <v>6</v>
      </c>
      <c r="E10" s="4">
        <v>7800</v>
      </c>
      <c r="F10" s="4">
        <v>1</v>
      </c>
      <c r="G10" s="1">
        <f t="shared" si="0"/>
        <v>7800</v>
      </c>
    </row>
    <row r="11" spans="4:7">
      <c r="D11" s="2" t="s">
        <v>7</v>
      </c>
      <c r="E11" s="4">
        <v>99000</v>
      </c>
      <c r="F11" s="4">
        <v>1</v>
      </c>
      <c r="G11" s="1">
        <f t="shared" si="0"/>
        <v>99000</v>
      </c>
    </row>
    <row r="12" spans="4:7">
      <c r="D12" s="2" t="s">
        <v>8</v>
      </c>
      <c r="E12" s="4">
        <v>1500</v>
      </c>
      <c r="F12" s="4">
        <v>1</v>
      </c>
      <c r="G12" s="1">
        <f t="shared" si="0"/>
        <v>1500</v>
      </c>
    </row>
    <row r="13" spans="4:7">
      <c r="D13" s="2" t="s">
        <v>9</v>
      </c>
      <c r="E13" s="4">
        <v>15126</v>
      </c>
      <c r="F13" s="4">
        <v>1</v>
      </c>
      <c r="G13" s="1">
        <f t="shared" si="0"/>
        <v>15126</v>
      </c>
    </row>
    <row r="14" spans="4:7">
      <c r="D14" s="2" t="s">
        <v>10</v>
      </c>
      <c r="E14" s="4">
        <v>6000</v>
      </c>
      <c r="F14" s="4">
        <v>1</v>
      </c>
      <c r="G14" s="1">
        <f t="shared" si="0"/>
        <v>6000</v>
      </c>
    </row>
    <row r="15" spans="4:7">
      <c r="D15" s="2" t="s">
        <v>11</v>
      </c>
      <c r="E15" s="4">
        <v>3500</v>
      </c>
      <c r="F15" s="4">
        <v>1</v>
      </c>
      <c r="G15" s="1">
        <f t="shared" si="0"/>
        <v>3500</v>
      </c>
    </row>
    <row r="16" spans="4:7">
      <c r="D16" s="2" t="s">
        <v>12</v>
      </c>
      <c r="E16" s="4">
        <v>1500</v>
      </c>
      <c r="F16" s="4">
        <v>1</v>
      </c>
      <c r="G16" s="1">
        <f t="shared" si="0"/>
        <v>1500</v>
      </c>
    </row>
    <row r="17" spans="4:7">
      <c r="D17" s="2" t="s">
        <v>13</v>
      </c>
      <c r="E17" s="4">
        <v>4500</v>
      </c>
      <c r="F17" s="4">
        <v>1</v>
      </c>
      <c r="G17" s="1">
        <f t="shared" si="0"/>
        <v>4500</v>
      </c>
    </row>
    <row r="18" spans="4:7">
      <c r="D18" s="2" t="s">
        <v>14</v>
      </c>
      <c r="E18" s="4">
        <v>4900</v>
      </c>
      <c r="F18" s="4">
        <v>1</v>
      </c>
      <c r="G18" s="1">
        <f t="shared" si="0"/>
        <v>4900</v>
      </c>
    </row>
    <row r="19" spans="4:7">
      <c r="D19" s="2" t="s">
        <v>15</v>
      </c>
      <c r="E19" s="4">
        <v>10000</v>
      </c>
      <c r="F19" s="4">
        <v>1</v>
      </c>
      <c r="G19" s="1">
        <f t="shared" si="0"/>
        <v>10000</v>
      </c>
    </row>
    <row r="20" spans="4:7">
      <c r="D20" s="2" t="s">
        <v>16</v>
      </c>
      <c r="E20" s="4">
        <v>18000</v>
      </c>
      <c r="F20" s="4">
        <v>1</v>
      </c>
      <c r="G20" s="1">
        <f t="shared" si="0"/>
        <v>18000</v>
      </c>
    </row>
    <row r="21" spans="4:7">
      <c r="D21" s="2" t="s">
        <v>17</v>
      </c>
      <c r="E21" s="4">
        <v>8000</v>
      </c>
      <c r="F21" s="4">
        <v>3</v>
      </c>
      <c r="G21" s="1">
        <f t="shared" si="0"/>
        <v>24000</v>
      </c>
    </row>
    <row r="22" spans="4:7">
      <c r="D22" s="2" t="s">
        <v>18</v>
      </c>
      <c r="E22" s="4">
        <v>2000</v>
      </c>
      <c r="F22" s="4">
        <v>1</v>
      </c>
      <c r="G22" s="1">
        <f t="shared" si="0"/>
        <v>2000</v>
      </c>
    </row>
    <row r="23" spans="4:7">
      <c r="D23" s="2" t="s">
        <v>19</v>
      </c>
      <c r="E23" s="4">
        <v>6000</v>
      </c>
      <c r="F23" s="4">
        <v>1</v>
      </c>
      <c r="G23" s="1">
        <f t="shared" si="0"/>
        <v>6000</v>
      </c>
    </row>
    <row r="24" ht="17.25" customHeight="1" spans="4:7">
      <c r="D24" s="2" t="s">
        <v>20</v>
      </c>
      <c r="E24" s="4">
        <v>12500</v>
      </c>
      <c r="F24" s="4">
        <v>1</v>
      </c>
      <c r="G24" s="1">
        <f t="shared" si="0"/>
        <v>12500</v>
      </c>
    </row>
    <row r="25" spans="4:7">
      <c r="D25" s="2" t="s">
        <v>21</v>
      </c>
      <c r="E25" s="4">
        <v>25000</v>
      </c>
      <c r="F25" s="4">
        <v>1</v>
      </c>
      <c r="G25" s="1">
        <f t="shared" si="0"/>
        <v>25000</v>
      </c>
    </row>
    <row r="26" spans="4:7">
      <c r="D26" s="2" t="s">
        <v>22</v>
      </c>
      <c r="E26" s="4">
        <v>500</v>
      </c>
      <c r="F26" s="4">
        <v>3</v>
      </c>
      <c r="G26" s="1">
        <f t="shared" si="0"/>
        <v>1500</v>
      </c>
    </row>
    <row r="27" spans="4:7">
      <c r="D27" s="2" t="s">
        <v>23</v>
      </c>
      <c r="E27" s="4">
        <v>10000</v>
      </c>
      <c r="F27" s="4">
        <v>1</v>
      </c>
      <c r="G27" s="1">
        <f t="shared" si="0"/>
        <v>10000</v>
      </c>
    </row>
    <row r="28" spans="4:7">
      <c r="D28" s="2" t="s">
        <v>24</v>
      </c>
      <c r="E28" s="4">
        <v>10000</v>
      </c>
      <c r="F28" s="4">
        <v>1</v>
      </c>
      <c r="G28" s="1">
        <f t="shared" si="0"/>
        <v>10000</v>
      </c>
    </row>
    <row r="29" spans="4:7">
      <c r="D29" s="2" t="s">
        <v>25</v>
      </c>
      <c r="E29" s="4">
        <v>25000</v>
      </c>
      <c r="F29" s="4">
        <v>1</v>
      </c>
      <c r="G29" s="1">
        <f t="shared" si="0"/>
        <v>25000</v>
      </c>
    </row>
    <row r="30" spans="4:7">
      <c r="D30" s="2" t="s">
        <v>26</v>
      </c>
      <c r="E30" s="4">
        <v>13500</v>
      </c>
      <c r="F30" s="4">
        <v>1</v>
      </c>
      <c r="G30" s="1">
        <f t="shared" si="0"/>
        <v>13500</v>
      </c>
    </row>
    <row r="31" spans="4:7">
      <c r="D31" s="2" t="s">
        <v>27</v>
      </c>
      <c r="E31" s="4">
        <v>8400</v>
      </c>
      <c r="F31" s="4">
        <v>1</v>
      </c>
      <c r="G31" s="1">
        <f t="shared" si="0"/>
        <v>8400</v>
      </c>
    </row>
    <row r="32" spans="4:7">
      <c r="D32" s="2" t="s">
        <v>28</v>
      </c>
      <c r="E32" s="4">
        <v>2500</v>
      </c>
      <c r="F32" s="4">
        <v>1</v>
      </c>
      <c r="G32" s="1">
        <f t="shared" si="0"/>
        <v>2500</v>
      </c>
    </row>
    <row r="33" spans="4:7">
      <c r="D33" s="2" t="s">
        <v>29</v>
      </c>
      <c r="E33" s="4">
        <v>1000</v>
      </c>
      <c r="F33" s="4">
        <v>1</v>
      </c>
      <c r="G33" s="1">
        <f t="shared" si="0"/>
        <v>1000</v>
      </c>
    </row>
    <row r="34" spans="4:7">
      <c r="D34" s="2" t="s">
        <v>30</v>
      </c>
      <c r="E34" s="4">
        <v>900</v>
      </c>
      <c r="F34" s="4">
        <v>1</v>
      </c>
      <c r="G34" s="1">
        <f t="shared" si="0"/>
        <v>900</v>
      </c>
    </row>
    <row r="35" spans="4:7">
      <c r="D35" s="2" t="s">
        <v>31</v>
      </c>
      <c r="E35" s="4">
        <v>3900</v>
      </c>
      <c r="F35" s="4">
        <v>1</v>
      </c>
      <c r="G35" s="1">
        <f t="shared" si="0"/>
        <v>3900</v>
      </c>
    </row>
    <row r="36" spans="4:7">
      <c r="D36" s="2" t="s">
        <v>32</v>
      </c>
      <c r="E36" s="4">
        <v>1700</v>
      </c>
      <c r="F36" s="4">
        <v>1</v>
      </c>
      <c r="G36" s="1">
        <f t="shared" si="0"/>
        <v>1700</v>
      </c>
    </row>
    <row r="37" spans="4:7">
      <c r="D37" s="2" t="s">
        <v>31</v>
      </c>
      <c r="E37" s="4">
        <v>3900</v>
      </c>
      <c r="F37" s="4">
        <v>1</v>
      </c>
      <c r="G37" s="1">
        <f t="shared" si="0"/>
        <v>3900</v>
      </c>
    </row>
    <row r="38" spans="4:7">
      <c r="D38" s="2" t="s">
        <v>33</v>
      </c>
      <c r="E38" s="4">
        <v>7000</v>
      </c>
      <c r="F38" s="4">
        <v>1</v>
      </c>
      <c r="G38" s="1">
        <f t="shared" si="0"/>
        <v>7000</v>
      </c>
    </row>
    <row r="39" spans="4:7">
      <c r="D39" s="2" t="s">
        <v>34</v>
      </c>
      <c r="E39" s="4">
        <v>1000</v>
      </c>
      <c r="F39" s="4">
        <v>1</v>
      </c>
      <c r="G39" s="1">
        <f t="shared" si="0"/>
        <v>1000</v>
      </c>
    </row>
    <row r="40" spans="4:7">
      <c r="D40" s="2" t="s">
        <v>35</v>
      </c>
      <c r="E40" s="5">
        <v>10000</v>
      </c>
      <c r="F40" s="4">
        <v>1</v>
      </c>
      <c r="G40" s="1">
        <f t="shared" si="0"/>
        <v>10000</v>
      </c>
    </row>
    <row r="41" spans="4:7">
      <c r="D41" s="2" t="s">
        <v>36</v>
      </c>
      <c r="E41" s="5">
        <v>20000</v>
      </c>
      <c r="F41" s="4">
        <v>1</v>
      </c>
      <c r="G41" s="1">
        <f t="shared" si="0"/>
        <v>20000</v>
      </c>
    </row>
    <row r="42" spans="4:7">
      <c r="D42" s="2" t="s">
        <v>37</v>
      </c>
      <c r="E42" s="5">
        <v>80000</v>
      </c>
      <c r="F42" s="4">
        <v>1</v>
      </c>
      <c r="G42" s="1">
        <f t="shared" si="0"/>
        <v>80000</v>
      </c>
    </row>
    <row r="43" spans="4:7">
      <c r="D43" s="2" t="s">
        <v>38</v>
      </c>
      <c r="E43" s="5">
        <v>20000</v>
      </c>
      <c r="F43" s="4">
        <v>1</v>
      </c>
      <c r="G43" s="1">
        <f t="shared" si="0"/>
        <v>20000</v>
      </c>
    </row>
    <row r="44" spans="4:7">
      <c r="D44" s="2" t="s">
        <v>39</v>
      </c>
      <c r="E44" s="5">
        <v>33800</v>
      </c>
      <c r="F44" s="4">
        <v>1</v>
      </c>
      <c r="G44" s="1">
        <f t="shared" si="0"/>
        <v>33800</v>
      </c>
    </row>
    <row r="45" spans="4:7">
      <c r="D45" s="2" t="s">
        <v>40</v>
      </c>
      <c r="E45" s="5">
        <v>60000</v>
      </c>
      <c r="F45" s="4">
        <v>1</v>
      </c>
      <c r="G45" s="1">
        <f t="shared" si="0"/>
        <v>60000</v>
      </c>
    </row>
    <row r="46" spans="4:7">
      <c r="D46" s="2" t="s">
        <v>41</v>
      </c>
      <c r="E46" s="5">
        <v>35000</v>
      </c>
      <c r="F46" s="4">
        <v>1</v>
      </c>
      <c r="G46" s="1">
        <f t="shared" si="0"/>
        <v>35000</v>
      </c>
    </row>
    <row r="47" spans="4:7">
      <c r="D47" s="2" t="s">
        <v>42</v>
      </c>
      <c r="E47" s="5">
        <v>35000</v>
      </c>
      <c r="F47" s="4">
        <v>1</v>
      </c>
      <c r="G47" s="1">
        <f t="shared" si="0"/>
        <v>35000</v>
      </c>
    </row>
    <row r="48" spans="4:7">
      <c r="D48" s="2" t="s">
        <v>43</v>
      </c>
      <c r="E48" s="5">
        <v>10000</v>
      </c>
      <c r="F48" s="4">
        <v>1</v>
      </c>
      <c r="G48" s="1">
        <f t="shared" si="0"/>
        <v>10000</v>
      </c>
    </row>
    <row r="49" spans="4:7">
      <c r="D49" s="2" t="s">
        <v>44</v>
      </c>
      <c r="E49" s="5">
        <v>39000</v>
      </c>
      <c r="F49" s="4">
        <v>1</v>
      </c>
      <c r="G49" s="1">
        <f t="shared" si="0"/>
        <v>39000</v>
      </c>
    </row>
    <row r="50" spans="4:7">
      <c r="D50" s="2" t="s">
        <v>45</v>
      </c>
      <c r="E50" s="5">
        <v>10000</v>
      </c>
      <c r="F50" s="4">
        <v>1</v>
      </c>
      <c r="G50" s="1">
        <f t="shared" si="0"/>
        <v>10000</v>
      </c>
    </row>
    <row r="51" spans="4:7">
      <c r="D51" s="2" t="s">
        <v>46</v>
      </c>
      <c r="E51" s="5">
        <v>7000</v>
      </c>
      <c r="F51" s="4">
        <v>1</v>
      </c>
      <c r="G51" s="1">
        <f t="shared" si="0"/>
        <v>7000</v>
      </c>
    </row>
    <row r="52" spans="4:7">
      <c r="D52" s="2" t="s">
        <v>47</v>
      </c>
      <c r="E52" s="5">
        <v>10000</v>
      </c>
      <c r="F52" s="4">
        <v>1</v>
      </c>
      <c r="G52" s="1">
        <f t="shared" si="0"/>
        <v>10000</v>
      </c>
    </row>
    <row r="53" ht="18" customHeight="1" spans="4:7">
      <c r="D53" s="2" t="s">
        <v>48</v>
      </c>
      <c r="E53" s="5">
        <v>20000</v>
      </c>
      <c r="F53" s="4">
        <v>1</v>
      </c>
      <c r="G53" s="1">
        <f t="shared" si="0"/>
        <v>20000</v>
      </c>
    </row>
    <row r="54" spans="4:7">
      <c r="D54" s="2" t="s">
        <v>49</v>
      </c>
      <c r="E54" s="5">
        <v>1000</v>
      </c>
      <c r="F54" s="4">
        <v>1</v>
      </c>
      <c r="G54" s="1">
        <f t="shared" si="0"/>
        <v>1000</v>
      </c>
    </row>
    <row r="55" ht="18.75" customHeight="1" spans="4:7">
      <c r="D55" s="2" t="s">
        <v>50</v>
      </c>
      <c r="E55" s="5">
        <v>10000</v>
      </c>
      <c r="F55" s="4">
        <v>1</v>
      </c>
      <c r="G55" s="1">
        <f t="shared" si="0"/>
        <v>10000</v>
      </c>
    </row>
    <row r="56" ht="16.5" customHeight="1" spans="4:7">
      <c r="D56" s="2" t="s">
        <v>51</v>
      </c>
      <c r="E56" s="5">
        <v>2500</v>
      </c>
      <c r="F56" s="4">
        <v>1</v>
      </c>
      <c r="G56" s="1">
        <f t="shared" si="0"/>
        <v>2500</v>
      </c>
    </row>
    <row r="57" spans="4:7">
      <c r="D57" s="2" t="s">
        <v>52</v>
      </c>
      <c r="E57" s="5">
        <v>15000</v>
      </c>
      <c r="F57" s="4">
        <v>1</v>
      </c>
      <c r="G57" s="1">
        <f t="shared" si="0"/>
        <v>15000</v>
      </c>
    </row>
    <row r="58" spans="4:7">
      <c r="D58" s="2" t="s">
        <v>53</v>
      </c>
      <c r="E58" s="5">
        <v>36000</v>
      </c>
      <c r="F58" s="4">
        <v>1</v>
      </c>
      <c r="G58" s="1">
        <f t="shared" si="0"/>
        <v>36000</v>
      </c>
    </row>
    <row r="59" spans="4:7">
      <c r="D59" s="2"/>
      <c r="E59" s="2"/>
      <c r="F59" s="2"/>
      <c r="G59" s="1"/>
    </row>
    <row r="60" spans="4:7">
      <c r="D60" s="2"/>
      <c r="E60" s="2"/>
      <c r="F60" s="2" t="s">
        <v>54</v>
      </c>
      <c r="G60" s="1">
        <f>SUM(G4:G59)</f>
        <v>949026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Hoja1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sebas</cp:lastModifiedBy>
  <dcterms:created xsi:type="dcterms:W3CDTF">2026-02-27T22:24:00Z</dcterms:created>
  <dcterms:modified xsi:type="dcterms:W3CDTF">2026-04-22T21:32:19Z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8C52D434BB1F4F5CBE92232CC44DA11C_12</vt:lpwstr>
  </property>
  <property fmtid="{D5CDD505-2E9C-101B-9397-08002B2CF9AE}" pid="3" name="KSOProductBuildVer">
    <vt:lpwstr>3082-12.2.0.23202</vt:lpwstr>
  </property>
</Properties>
</file>